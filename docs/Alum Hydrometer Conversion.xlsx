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TP\operators\opsstuff\Calculators\"/>
    </mc:Choice>
  </mc:AlternateContent>
  <bookViews>
    <workbookView xWindow="-120" yWindow="-120" windowWidth="29040" windowHeight="15720" tabRatio="383"/>
  </bookViews>
  <sheets>
    <sheet name="Correction Calculation" sheetId="2" r:id="rId1"/>
    <sheet name="Data &amp; Graphs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K10" i="2" s="1"/>
  <c r="K4" i="2"/>
  <c r="K13" i="2" l="1"/>
  <c r="K16" i="2" s="1"/>
  <c r="D3" i="2" s="1"/>
</calcChain>
</file>

<file path=xl/sharedStrings.xml><?xml version="1.0" encoding="utf-8"?>
<sst xmlns="http://schemas.openxmlformats.org/spreadsheetml/2006/main" count="30" uniqueCount="27">
  <si>
    <t>Density</t>
  </si>
  <si>
    <t>g/cm³</t>
  </si>
  <si>
    <t>Dry Alum</t>
  </si>
  <si>
    <t>%</t>
  </si>
  <si>
    <t>(g/cm³)</t>
  </si>
  <si>
    <t>(°Bé @ 60 °F)</t>
  </si>
  <si>
    <t>(%)</t>
  </si>
  <si>
    <t>Correction</t>
  </si>
  <si>
    <t>Temperature</t>
  </si>
  <si>
    <t>(°F)</t>
  </si>
  <si>
    <t>(°Bé)</t>
  </si>
  <si>
    <t>Hydrometer</t>
  </si>
  <si>
    <t>Corrected Density</t>
  </si>
  <si>
    <r>
      <t xml:space="preserve">g/cm³ </t>
    </r>
    <r>
      <rPr>
        <sz val="10"/>
        <rFont val="Wingdings"/>
        <charset val="2"/>
      </rPr>
      <t>à</t>
    </r>
    <r>
      <rPr>
        <sz val="10"/>
        <rFont val="Arial"/>
      </rPr>
      <t xml:space="preserve"> °Bé</t>
    </r>
  </si>
  <si>
    <t>°Bé correction</t>
  </si>
  <si>
    <t>°C</t>
  </si>
  <si>
    <r>
      <t xml:space="preserve">°C </t>
    </r>
    <r>
      <rPr>
        <sz val="10"/>
        <rFont val="Wingdings"/>
        <charset val="2"/>
      </rPr>
      <t>à</t>
    </r>
    <r>
      <rPr>
        <sz val="10"/>
        <rFont val="Arial"/>
      </rPr>
      <t xml:space="preserve"> °F</t>
    </r>
  </si>
  <si>
    <t>Corrected °Bé</t>
  </si>
  <si>
    <r>
      <t xml:space="preserve">°Bé </t>
    </r>
    <r>
      <rPr>
        <sz val="10"/>
        <rFont val="Wingdings"/>
        <charset val="2"/>
      </rPr>
      <t>à</t>
    </r>
    <r>
      <rPr>
        <sz val="10"/>
        <rFont val="Arial"/>
      </rPr>
      <t xml:space="preserve"> g/cm³</t>
    </r>
  </si>
  <si>
    <t xml:space="preserve"> </t>
  </si>
  <si>
    <r>
      <t xml:space="preserve">g/cm³ </t>
    </r>
    <r>
      <rPr>
        <b/>
        <sz val="8"/>
        <color indexed="17"/>
        <rFont val="Arial"/>
        <family val="2"/>
      </rPr>
      <t>@</t>
    </r>
    <r>
      <rPr>
        <b/>
        <sz val="10"/>
        <color indexed="17"/>
        <rFont val="Arial"/>
        <family val="2"/>
      </rPr>
      <t xml:space="preserve"> 60 °F</t>
    </r>
  </si>
  <si>
    <t>Minimum percent available: 46.6%.</t>
  </si>
  <si>
    <t>https://www.usalco.com/products/aluminum-sulfate-solution-alum/</t>
  </si>
  <si>
    <t>https://www.usalco.com/wp-content/uploads/2020/06/USALCO_TDS_Aluminum_Sulfate_Solution-6-30-20.pdf</t>
  </si>
  <si>
    <t>Correct Density Source @ 60 F</t>
  </si>
  <si>
    <t>Edit These Two</t>
  </si>
  <si>
    <t>Reference: Do Not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</si>
</sst>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"/>
    <numFmt numFmtId="166" formatCode="0.000"/>
  </numFmts>
  <fonts count="11" x14ac:knownFonts="1">
    <font>
      <sz val="10"/>
      <name val="Arial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10"/>
      <color indexed="53"/>
      <name val="Arial"/>
      <family val="2"/>
    </font>
    <font>
      <sz val="10"/>
      <name val="Wingdings"/>
      <charset val="2"/>
    </font>
    <font>
      <b/>
      <sz val="8"/>
      <color indexed="1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0" fillId="0" borderId="0" xfId="1"/>
    <xf numFmtId="166" fontId="4" fillId="2" borderId="0" xfId="0" applyNumberFormat="1" applyFont="1" applyFill="1" applyAlignment="1" applyProtection="1">
      <alignment horizontal="center"/>
    </xf>
    <xf numFmtId="0" fontId="9" fillId="2" borderId="0" xfId="0" applyFont="1" applyFill="1"/>
    <xf numFmtId="166" fontId="2" fillId="3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9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Alum: °Bé vs g/cm³</a:t>
            </a:r>
          </a:p>
        </c:rich>
      </c:tx>
      <c:layout>
        <c:manualLayout>
          <c:xMode val="edge"/>
          <c:yMode val="edge"/>
          <c:x val="0.34852548576122522"/>
          <c:y val="3.16741001780371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790884718498661E-2"/>
          <c:y val="0.19457035069016754"/>
          <c:w val="0.86729222520107241"/>
          <c:h val="0.6538468761564931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0"/>
            <c:dispEq val="1"/>
            <c:trendlineLbl>
              <c:layout>
                <c:manualLayout>
                  <c:xMode val="edge"/>
                  <c:yMode val="edge"/>
                  <c:x val="0.18230563002680966"/>
                  <c:y val="0.1312218644189502"/>
                </c:manualLayout>
              </c:layout>
              <c:tx>
                <c:rich>
                  <a:bodyPr/>
                  <a:lstStyle/>
                  <a:p>
                    <a:pPr>
                      <a:defRPr sz="1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9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°Bé = -89.2372578386554(g/cm³)</a:t>
                    </a:r>
                    <a:r>
                      <a:rPr lang="en-US" sz="9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9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+ 316.291955357175(g/cm³) - 226.846279115839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'Data &amp; Graphs'!$A$3:$A$41</c:f>
              <c:numCache>
                <c:formatCode>0.0000</c:formatCode>
                <c:ptCount val="39"/>
                <c:pt idx="0">
                  <c:v>1.0068999999999999</c:v>
                </c:pt>
                <c:pt idx="1">
                  <c:v>1.014</c:v>
                </c:pt>
                <c:pt idx="2">
                  <c:v>1.0210999999999999</c:v>
                </c:pt>
                <c:pt idx="3">
                  <c:v>1.0284</c:v>
                </c:pt>
                <c:pt idx="4">
                  <c:v>1.0357000000000001</c:v>
                </c:pt>
                <c:pt idx="5">
                  <c:v>1.0431999999999999</c:v>
                </c:pt>
                <c:pt idx="6">
                  <c:v>1.0507</c:v>
                </c:pt>
                <c:pt idx="7">
                  <c:v>1.0584</c:v>
                </c:pt>
                <c:pt idx="8">
                  <c:v>1.0662</c:v>
                </c:pt>
                <c:pt idx="9">
                  <c:v>1.0741000000000001</c:v>
                </c:pt>
                <c:pt idx="10">
                  <c:v>1.0821000000000001</c:v>
                </c:pt>
                <c:pt idx="11">
                  <c:v>1.0902000000000001</c:v>
                </c:pt>
                <c:pt idx="12">
                  <c:v>1.0985</c:v>
                </c:pt>
                <c:pt idx="13">
                  <c:v>1.1069</c:v>
                </c:pt>
                <c:pt idx="14">
                  <c:v>1.1153999999999999</c:v>
                </c:pt>
                <c:pt idx="15">
                  <c:v>1.1240000000000001</c:v>
                </c:pt>
                <c:pt idx="16">
                  <c:v>1.1328</c:v>
                </c:pt>
                <c:pt idx="17">
                  <c:v>1.1416999999999999</c:v>
                </c:pt>
                <c:pt idx="18">
                  <c:v>1.1508</c:v>
                </c:pt>
                <c:pt idx="19">
                  <c:v>1.1599999999999999</c:v>
                </c:pt>
                <c:pt idx="20">
                  <c:v>1.1694</c:v>
                </c:pt>
                <c:pt idx="21">
                  <c:v>1.1789000000000001</c:v>
                </c:pt>
                <c:pt idx="22">
                  <c:v>1.1884999999999999</c:v>
                </c:pt>
                <c:pt idx="23">
                  <c:v>1.1982999999999999</c:v>
                </c:pt>
                <c:pt idx="24">
                  <c:v>1.2082999999999999</c:v>
                </c:pt>
                <c:pt idx="25">
                  <c:v>1.2184999999999999</c:v>
                </c:pt>
                <c:pt idx="26">
                  <c:v>1.2287999999999999</c:v>
                </c:pt>
                <c:pt idx="27">
                  <c:v>1.2393000000000001</c:v>
                </c:pt>
                <c:pt idx="28">
                  <c:v>1.25</c:v>
                </c:pt>
                <c:pt idx="29">
                  <c:v>1.2608999999999999</c:v>
                </c:pt>
                <c:pt idx="30">
                  <c:v>1.2719</c:v>
                </c:pt>
                <c:pt idx="31">
                  <c:v>1.2831999999999999</c:v>
                </c:pt>
                <c:pt idx="32">
                  <c:v>1.2946</c:v>
                </c:pt>
                <c:pt idx="33">
                  <c:v>1.3063</c:v>
                </c:pt>
                <c:pt idx="34">
                  <c:v>1.3182</c:v>
                </c:pt>
                <c:pt idx="35">
                  <c:v>1.3303</c:v>
                </c:pt>
                <c:pt idx="36">
                  <c:v>1.3426</c:v>
                </c:pt>
                <c:pt idx="37">
                  <c:v>1.3551</c:v>
                </c:pt>
                <c:pt idx="38">
                  <c:v>1.3678999999999999</c:v>
                </c:pt>
              </c:numCache>
            </c:numRef>
          </c:xVal>
          <c:yVal>
            <c:numRef>
              <c:f>'Data &amp; Graphs'!$B$3:$B$41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4-4AC4-A8F7-78B4A442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6792"/>
        <c:axId val="1"/>
      </c:scatterChart>
      <c:valAx>
        <c:axId val="395366792"/>
        <c:scaling>
          <c:orientation val="minMax"/>
          <c:max val="1.4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g/cm³</a:t>
                </a:r>
              </a:p>
            </c:rich>
          </c:tx>
          <c:layout>
            <c:manualLayout>
              <c:xMode val="edge"/>
              <c:yMode val="edge"/>
              <c:x val="0.49597859753061418"/>
              <c:y val="0.916290631940238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1"/>
        <c:minorUnit val="0.01"/>
      </c:valAx>
      <c:valAx>
        <c:axId val="1"/>
        <c:scaling>
          <c:orientation val="minMax"/>
          <c:max val="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°</a:t>
                </a: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Bé</a:t>
                </a:r>
              </a:p>
            </c:rich>
          </c:tx>
          <c:layout>
            <c:manualLayout>
              <c:xMode val="edge"/>
              <c:yMode val="edge"/>
              <c:x val="2.1447761152042492E-2"/>
              <c:y val="0.4932132500045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536679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Alum: g/cm³ vs °Bé</a:t>
            </a:r>
          </a:p>
        </c:rich>
      </c:tx>
      <c:layout>
        <c:manualLayout>
          <c:xMode val="edge"/>
          <c:yMode val="edge"/>
          <c:x val="0.34899354685927414"/>
          <c:y val="3.16741001780371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12088278686214"/>
          <c:y val="0.19457035069016754"/>
          <c:w val="0.85100726916898406"/>
          <c:h val="0.6538468761564931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0"/>
            <c:dispEq val="1"/>
            <c:trendlineLbl>
              <c:layout>
                <c:manualLayout>
                  <c:xMode val="edge"/>
                  <c:yMode val="edge"/>
                  <c:x val="0.15302023451934416"/>
                  <c:y val="0.1312218644189502"/>
                </c:manualLayout>
              </c:layout>
              <c:tx>
                <c:rich>
                  <a:bodyPr/>
                  <a:lstStyle/>
                  <a:p>
                    <a:pPr>
                      <a:defRPr sz="1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875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(g/cm³) = 7.57899006936252E-05(°Bé)</a:t>
                    </a:r>
                    <a:r>
                      <a:rPr lang="en-US" sz="875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875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+ 0.00638581287913759(°Bé) + 1.00190875369296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'Data &amp; Graphs'!$B$3:$B$41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'Data &amp; Graphs'!$A$3:$A$41</c:f>
              <c:numCache>
                <c:formatCode>0.0000</c:formatCode>
                <c:ptCount val="39"/>
                <c:pt idx="0">
                  <c:v>1.0068999999999999</c:v>
                </c:pt>
                <c:pt idx="1">
                  <c:v>1.014</c:v>
                </c:pt>
                <c:pt idx="2">
                  <c:v>1.0210999999999999</c:v>
                </c:pt>
                <c:pt idx="3">
                  <c:v>1.0284</c:v>
                </c:pt>
                <c:pt idx="4">
                  <c:v>1.0357000000000001</c:v>
                </c:pt>
                <c:pt idx="5">
                  <c:v>1.0431999999999999</c:v>
                </c:pt>
                <c:pt idx="6">
                  <c:v>1.0507</c:v>
                </c:pt>
                <c:pt idx="7">
                  <c:v>1.0584</c:v>
                </c:pt>
                <c:pt idx="8">
                  <c:v>1.0662</c:v>
                </c:pt>
                <c:pt idx="9">
                  <c:v>1.0741000000000001</c:v>
                </c:pt>
                <c:pt idx="10">
                  <c:v>1.0821000000000001</c:v>
                </c:pt>
                <c:pt idx="11">
                  <c:v>1.0902000000000001</c:v>
                </c:pt>
                <c:pt idx="12">
                  <c:v>1.0985</c:v>
                </c:pt>
                <c:pt idx="13">
                  <c:v>1.1069</c:v>
                </c:pt>
                <c:pt idx="14">
                  <c:v>1.1153999999999999</c:v>
                </c:pt>
                <c:pt idx="15">
                  <c:v>1.1240000000000001</c:v>
                </c:pt>
                <c:pt idx="16">
                  <c:v>1.1328</c:v>
                </c:pt>
                <c:pt idx="17">
                  <c:v>1.1416999999999999</c:v>
                </c:pt>
                <c:pt idx="18">
                  <c:v>1.1508</c:v>
                </c:pt>
                <c:pt idx="19">
                  <c:v>1.1599999999999999</c:v>
                </c:pt>
                <c:pt idx="20">
                  <c:v>1.1694</c:v>
                </c:pt>
                <c:pt idx="21">
                  <c:v>1.1789000000000001</c:v>
                </c:pt>
                <c:pt idx="22">
                  <c:v>1.1884999999999999</c:v>
                </c:pt>
                <c:pt idx="23">
                  <c:v>1.1982999999999999</c:v>
                </c:pt>
                <c:pt idx="24">
                  <c:v>1.2082999999999999</c:v>
                </c:pt>
                <c:pt idx="25">
                  <c:v>1.2184999999999999</c:v>
                </c:pt>
                <c:pt idx="26">
                  <c:v>1.2287999999999999</c:v>
                </c:pt>
                <c:pt idx="27">
                  <c:v>1.2393000000000001</c:v>
                </c:pt>
                <c:pt idx="28">
                  <c:v>1.25</c:v>
                </c:pt>
                <c:pt idx="29">
                  <c:v>1.2608999999999999</c:v>
                </c:pt>
                <c:pt idx="30">
                  <c:v>1.2719</c:v>
                </c:pt>
                <c:pt idx="31">
                  <c:v>1.2831999999999999</c:v>
                </c:pt>
                <c:pt idx="32">
                  <c:v>1.2946</c:v>
                </c:pt>
                <c:pt idx="33">
                  <c:v>1.3063</c:v>
                </c:pt>
                <c:pt idx="34">
                  <c:v>1.3182</c:v>
                </c:pt>
                <c:pt idx="35">
                  <c:v>1.3303</c:v>
                </c:pt>
                <c:pt idx="36">
                  <c:v>1.3426</c:v>
                </c:pt>
                <c:pt idx="37">
                  <c:v>1.3551</c:v>
                </c:pt>
                <c:pt idx="38">
                  <c:v>1.3678999999999999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D-4980-BCDB-0FCF3FE6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469664"/>
        <c:axId val="1"/>
      </c:scatterChart>
      <c:valAx>
        <c:axId val="395469664"/>
        <c:scaling>
          <c:orientation val="minMax"/>
          <c:max val="4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°</a:t>
                </a: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Bé</a:t>
                </a:r>
              </a:p>
            </c:rich>
          </c:tx>
          <c:layout>
            <c:manualLayout>
              <c:xMode val="edge"/>
              <c:yMode val="edge"/>
              <c:x val="0.52751704909066821"/>
              <c:y val="0.916290631940238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1.4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g/cm³</a:t>
                </a:r>
              </a:p>
            </c:rich>
          </c:tx>
          <c:layout>
            <c:manualLayout>
              <c:xMode val="edge"/>
              <c:yMode val="edge"/>
              <c:x val="2.1476497768605992E-2"/>
              <c:y val="0.4819010058183286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5469664"/>
        <c:crosses val="autoZero"/>
        <c:crossBetween val="midCat"/>
        <c:majorUnit val="0.1"/>
        <c:minorUnit val="0.0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Density vs % Dry Alum</a:t>
            </a:r>
          </a:p>
        </c:rich>
      </c:tx>
      <c:layout>
        <c:manualLayout>
          <c:xMode val="edge"/>
          <c:yMode val="edge"/>
          <c:x val="0.32396291737622734"/>
          <c:y val="3.16741001780371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63047846395802E-2"/>
          <c:y val="0.19457035069016754"/>
          <c:w val="0.85408411521622329"/>
          <c:h val="0.6538468761564931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0"/>
            <c:dispEq val="1"/>
            <c:trendlineLbl>
              <c:layout>
                <c:manualLayout>
                  <c:xMode val="edge"/>
                  <c:yMode val="edge"/>
                  <c:x val="0.33467245894052633"/>
                  <c:y val="0.13574675629546573"/>
                </c:manualLayout>
              </c:layout>
              <c:tx>
                <c:rich>
                  <a:bodyPr/>
                  <a:lstStyle/>
                  <a:p>
                    <a:pPr>
                      <a:defRPr sz="1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875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% = -62.408(g/cm³)</a:t>
                    </a:r>
                    <a:r>
                      <a:rPr lang="en-US" sz="875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875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+ 291.04(g/cm³) - 228.52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'Data &amp; Graphs'!$A$3:$A$41</c:f>
              <c:numCache>
                <c:formatCode>0.0000</c:formatCode>
                <c:ptCount val="39"/>
                <c:pt idx="0">
                  <c:v>1.0068999999999999</c:v>
                </c:pt>
                <c:pt idx="1">
                  <c:v>1.014</c:v>
                </c:pt>
                <c:pt idx="2">
                  <c:v>1.0210999999999999</c:v>
                </c:pt>
                <c:pt idx="3">
                  <c:v>1.0284</c:v>
                </c:pt>
                <c:pt idx="4">
                  <c:v>1.0357000000000001</c:v>
                </c:pt>
                <c:pt idx="5">
                  <c:v>1.0431999999999999</c:v>
                </c:pt>
                <c:pt idx="6">
                  <c:v>1.0507</c:v>
                </c:pt>
                <c:pt idx="7">
                  <c:v>1.0584</c:v>
                </c:pt>
                <c:pt idx="8">
                  <c:v>1.0662</c:v>
                </c:pt>
                <c:pt idx="9">
                  <c:v>1.0741000000000001</c:v>
                </c:pt>
                <c:pt idx="10">
                  <c:v>1.0821000000000001</c:v>
                </c:pt>
                <c:pt idx="11">
                  <c:v>1.0902000000000001</c:v>
                </c:pt>
                <c:pt idx="12">
                  <c:v>1.0985</c:v>
                </c:pt>
                <c:pt idx="13">
                  <c:v>1.1069</c:v>
                </c:pt>
                <c:pt idx="14">
                  <c:v>1.1153999999999999</c:v>
                </c:pt>
                <c:pt idx="15">
                  <c:v>1.1240000000000001</c:v>
                </c:pt>
                <c:pt idx="16">
                  <c:v>1.1328</c:v>
                </c:pt>
                <c:pt idx="17">
                  <c:v>1.1416999999999999</c:v>
                </c:pt>
                <c:pt idx="18">
                  <c:v>1.1508</c:v>
                </c:pt>
                <c:pt idx="19">
                  <c:v>1.1599999999999999</c:v>
                </c:pt>
                <c:pt idx="20">
                  <c:v>1.1694</c:v>
                </c:pt>
                <c:pt idx="21">
                  <c:v>1.1789000000000001</c:v>
                </c:pt>
                <c:pt idx="22">
                  <c:v>1.1884999999999999</c:v>
                </c:pt>
                <c:pt idx="23">
                  <c:v>1.1982999999999999</c:v>
                </c:pt>
                <c:pt idx="24">
                  <c:v>1.2082999999999999</c:v>
                </c:pt>
                <c:pt idx="25">
                  <c:v>1.2184999999999999</c:v>
                </c:pt>
                <c:pt idx="26">
                  <c:v>1.2287999999999999</c:v>
                </c:pt>
                <c:pt idx="27">
                  <c:v>1.2393000000000001</c:v>
                </c:pt>
                <c:pt idx="28">
                  <c:v>1.25</c:v>
                </c:pt>
                <c:pt idx="29">
                  <c:v>1.2608999999999999</c:v>
                </c:pt>
                <c:pt idx="30">
                  <c:v>1.2719</c:v>
                </c:pt>
                <c:pt idx="31">
                  <c:v>1.2831999999999999</c:v>
                </c:pt>
                <c:pt idx="32">
                  <c:v>1.2946</c:v>
                </c:pt>
                <c:pt idx="33">
                  <c:v>1.3063</c:v>
                </c:pt>
                <c:pt idx="34">
                  <c:v>1.3182</c:v>
                </c:pt>
                <c:pt idx="35">
                  <c:v>1.3303</c:v>
                </c:pt>
                <c:pt idx="36">
                  <c:v>1.3426</c:v>
                </c:pt>
                <c:pt idx="37">
                  <c:v>1.3551</c:v>
                </c:pt>
                <c:pt idx="38">
                  <c:v>1.3678999999999999</c:v>
                </c:pt>
              </c:numCache>
            </c:numRef>
          </c:xVal>
          <c:yVal>
            <c:numRef>
              <c:f>'Data &amp; Graphs'!$C$3:$C$41</c:f>
              <c:numCache>
                <c:formatCode>0.0</c:formatCode>
                <c:ptCount val="39"/>
                <c:pt idx="0">
                  <c:v>1.1000000000000001</c:v>
                </c:pt>
                <c:pt idx="1">
                  <c:v>2.2999999999999998</c:v>
                </c:pt>
                <c:pt idx="2">
                  <c:v>3.5</c:v>
                </c:pt>
                <c:pt idx="3">
                  <c:v>4.7</c:v>
                </c:pt>
                <c:pt idx="4">
                  <c:v>5.9</c:v>
                </c:pt>
                <c:pt idx="5">
                  <c:v>7.2</c:v>
                </c:pt>
                <c:pt idx="6">
                  <c:v>8.4</c:v>
                </c:pt>
                <c:pt idx="7">
                  <c:v>9.6999999999999993</c:v>
                </c:pt>
                <c:pt idx="8">
                  <c:v>10.9</c:v>
                </c:pt>
                <c:pt idx="9">
                  <c:v>12.2</c:v>
                </c:pt>
                <c:pt idx="10">
                  <c:v>13.4</c:v>
                </c:pt>
                <c:pt idx="11">
                  <c:v>14.7</c:v>
                </c:pt>
                <c:pt idx="12">
                  <c:v>16</c:v>
                </c:pt>
                <c:pt idx="13">
                  <c:v>17.2</c:v>
                </c:pt>
                <c:pt idx="14">
                  <c:v>18.5</c:v>
                </c:pt>
                <c:pt idx="15">
                  <c:v>19.899999999999999</c:v>
                </c:pt>
                <c:pt idx="16">
                  <c:v>21.2</c:v>
                </c:pt>
                <c:pt idx="17">
                  <c:v>22.5</c:v>
                </c:pt>
                <c:pt idx="18">
                  <c:v>23.8</c:v>
                </c:pt>
                <c:pt idx="19">
                  <c:v>25.1</c:v>
                </c:pt>
                <c:pt idx="20">
                  <c:v>26.5</c:v>
                </c:pt>
                <c:pt idx="21">
                  <c:v>27.8</c:v>
                </c:pt>
                <c:pt idx="22">
                  <c:v>29.2</c:v>
                </c:pt>
                <c:pt idx="23">
                  <c:v>30.5</c:v>
                </c:pt>
                <c:pt idx="24">
                  <c:v>31.9</c:v>
                </c:pt>
                <c:pt idx="25">
                  <c:v>33.4</c:v>
                </c:pt>
                <c:pt idx="26">
                  <c:v>34.799999999999997</c:v>
                </c:pt>
                <c:pt idx="27">
                  <c:v>36.200000000000003</c:v>
                </c:pt>
                <c:pt idx="28">
                  <c:v>37.799999999999997</c:v>
                </c:pt>
                <c:pt idx="29">
                  <c:v>39.200000000000003</c:v>
                </c:pt>
                <c:pt idx="30">
                  <c:v>40.700000000000003</c:v>
                </c:pt>
                <c:pt idx="31">
                  <c:v>42.1</c:v>
                </c:pt>
                <c:pt idx="32">
                  <c:v>43.5</c:v>
                </c:pt>
                <c:pt idx="33">
                  <c:v>45.1</c:v>
                </c:pt>
                <c:pt idx="34">
                  <c:v>46.6</c:v>
                </c:pt>
                <c:pt idx="35">
                  <c:v>48.2</c:v>
                </c:pt>
                <c:pt idx="36">
                  <c:v>49.8</c:v>
                </c:pt>
                <c:pt idx="37">
                  <c:v>51.4</c:v>
                </c:pt>
                <c:pt idx="38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3-47E6-A8BE-AB78941CF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579944"/>
        <c:axId val="1"/>
      </c:scatterChart>
      <c:valAx>
        <c:axId val="394579944"/>
        <c:scaling>
          <c:orientation val="minMax"/>
          <c:max val="1.4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Density [g/cm³]</a:t>
                </a:r>
              </a:p>
            </c:rich>
          </c:tx>
          <c:layout>
            <c:manualLayout>
              <c:xMode val="edge"/>
              <c:yMode val="edge"/>
              <c:x val="0.46988006317197506"/>
              <c:y val="0.916290631940238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1"/>
        <c:minorUnit val="0.0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Dry Alum</a:t>
                </a:r>
              </a:p>
            </c:rich>
          </c:tx>
          <c:layout>
            <c:manualLayout>
              <c:xMode val="edge"/>
              <c:yMode val="edge"/>
              <c:x val="2.1419037020800665E-2"/>
              <c:y val="0.4457018703081695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45799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Temperature Correction for Alum Density [°Bé]</a:t>
            </a:r>
          </a:p>
        </c:rich>
      </c:tx>
      <c:layout>
        <c:manualLayout>
          <c:xMode val="edge"/>
          <c:yMode val="edge"/>
          <c:x val="0.2617450544245879"/>
          <c:y val="2.03620854211405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9805519744599"/>
          <c:y val="0.15837121567804333"/>
          <c:w val="0.86040324848157534"/>
          <c:h val="0.7330324839955149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7359371902577818E-3"/>
                  <c:y val="-0.10181010979965821"/>
                </c:manualLayout>
              </c:layout>
              <c:tx>
                <c:rich>
                  <a:bodyPr/>
                  <a:lstStyle/>
                  <a:p>
                    <a:pPr>
                      <a:defRPr sz="1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875" b="0" i="0" u="none" strike="noStrike" baseline="0">
                        <a:solidFill>
                          <a:srgbClr val="000080"/>
                        </a:solidFill>
                        <a:latin typeface="Arial"/>
                        <a:cs typeface="Arial"/>
                      </a:rPr>
                      <a:t>y = 0.0001x</a:t>
                    </a:r>
                    <a:r>
                      <a:rPr lang="en-US" sz="875" b="0" i="0" u="none" strike="noStrike" baseline="30000">
                        <a:solidFill>
                          <a:srgbClr val="00008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875" b="0" i="0" u="none" strike="noStrike" baseline="0">
                        <a:solidFill>
                          <a:srgbClr val="000080"/>
                        </a:solidFill>
                        <a:latin typeface="Arial"/>
                        <a:cs typeface="Arial"/>
                      </a:rPr>
                      <a:t> + 8E-05x - 0.5179</a:t>
                    </a:r>
                  </a:p>
                  <a:p>
                    <a:pPr>
                      <a:defRPr sz="1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875" b="0" i="0" u="none" strike="noStrike" baseline="0">
                        <a:solidFill>
                          <a:srgbClr val="000080"/>
                        </a:solidFill>
                        <a:latin typeface="Arial"/>
                        <a:cs typeface="Arial"/>
                      </a:rPr>
                      <a:t>R</a:t>
                    </a:r>
                    <a:r>
                      <a:rPr lang="en-US" sz="875" b="0" i="0" u="none" strike="noStrike" baseline="30000">
                        <a:solidFill>
                          <a:srgbClr val="00008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875" b="0" i="0" u="none" strike="noStrike" baseline="0">
                        <a:solidFill>
                          <a:srgbClr val="000080"/>
                        </a:solidFill>
                        <a:latin typeface="Arial"/>
                        <a:cs typeface="Arial"/>
                      </a:rPr>
                      <a:t> = 1</a:t>
                    </a:r>
                  </a:p>
                </c:rich>
              </c:tx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'Data &amp; Graphs'!$A$118:$A$208</c:f>
              <c:numCache>
                <c:formatCode>General</c:formatCode>
                <c:ptCount val="9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  <c:pt idx="61">
                  <c:v>121</c:v>
                </c:pt>
                <c:pt idx="62">
                  <c:v>122</c:v>
                </c:pt>
                <c:pt idx="63">
                  <c:v>123</c:v>
                </c:pt>
                <c:pt idx="64">
                  <c:v>124</c:v>
                </c:pt>
                <c:pt idx="65">
                  <c:v>125</c:v>
                </c:pt>
                <c:pt idx="66">
                  <c:v>126</c:v>
                </c:pt>
                <c:pt idx="67">
                  <c:v>127</c:v>
                </c:pt>
                <c:pt idx="68">
                  <c:v>128</c:v>
                </c:pt>
                <c:pt idx="69">
                  <c:v>129</c:v>
                </c:pt>
                <c:pt idx="70">
                  <c:v>130</c:v>
                </c:pt>
                <c:pt idx="71">
                  <c:v>131</c:v>
                </c:pt>
                <c:pt idx="72">
                  <c:v>132</c:v>
                </c:pt>
                <c:pt idx="73">
                  <c:v>133</c:v>
                </c:pt>
                <c:pt idx="74">
                  <c:v>134</c:v>
                </c:pt>
                <c:pt idx="75">
                  <c:v>135</c:v>
                </c:pt>
                <c:pt idx="76">
                  <c:v>136</c:v>
                </c:pt>
                <c:pt idx="77">
                  <c:v>137</c:v>
                </c:pt>
                <c:pt idx="78">
                  <c:v>138</c:v>
                </c:pt>
                <c:pt idx="79">
                  <c:v>139</c:v>
                </c:pt>
                <c:pt idx="80">
                  <c:v>140</c:v>
                </c:pt>
                <c:pt idx="81">
                  <c:v>141</c:v>
                </c:pt>
                <c:pt idx="82">
                  <c:v>142</c:v>
                </c:pt>
                <c:pt idx="83">
                  <c:v>143</c:v>
                </c:pt>
                <c:pt idx="84">
                  <c:v>144</c:v>
                </c:pt>
                <c:pt idx="85">
                  <c:v>145</c:v>
                </c:pt>
                <c:pt idx="86">
                  <c:v>146</c:v>
                </c:pt>
                <c:pt idx="87">
                  <c:v>147</c:v>
                </c:pt>
                <c:pt idx="88">
                  <c:v>148</c:v>
                </c:pt>
                <c:pt idx="89">
                  <c:v>149</c:v>
                </c:pt>
                <c:pt idx="90">
                  <c:v>150</c:v>
                </c:pt>
              </c:numCache>
            </c:numRef>
          </c:xVal>
          <c:yVal>
            <c:numRef>
              <c:f>'Data &amp; Graphs'!$B$118:$B$208</c:f>
              <c:numCache>
                <c:formatCode>0.00</c:formatCode>
                <c:ptCount val="91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0.11</c:v>
                </c:pt>
                <c:pt idx="7">
                  <c:v>0.13</c:v>
                </c:pt>
                <c:pt idx="8">
                  <c:v>0.15</c:v>
                </c:pt>
                <c:pt idx="9">
                  <c:v>0.16</c:v>
                </c:pt>
                <c:pt idx="10">
                  <c:v>0.18</c:v>
                </c:pt>
                <c:pt idx="11">
                  <c:v>0.2</c:v>
                </c:pt>
                <c:pt idx="12">
                  <c:v>0.23</c:v>
                </c:pt>
                <c:pt idx="13">
                  <c:v>0.25</c:v>
                </c:pt>
                <c:pt idx="14">
                  <c:v>0.27</c:v>
                </c:pt>
                <c:pt idx="15">
                  <c:v>0.28999999999999998</c:v>
                </c:pt>
                <c:pt idx="16">
                  <c:v>0.31</c:v>
                </c:pt>
                <c:pt idx="17">
                  <c:v>0.33</c:v>
                </c:pt>
                <c:pt idx="18">
                  <c:v>0.35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0.47</c:v>
                </c:pt>
                <c:pt idx="24">
                  <c:v>0.49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0.59</c:v>
                </c:pt>
                <c:pt idx="29">
                  <c:v>0.61</c:v>
                </c:pt>
                <c:pt idx="30">
                  <c:v>0.64</c:v>
                </c:pt>
                <c:pt idx="31">
                  <c:v>0.66</c:v>
                </c:pt>
                <c:pt idx="32">
                  <c:v>0.69</c:v>
                </c:pt>
                <c:pt idx="33">
                  <c:v>0.72</c:v>
                </c:pt>
                <c:pt idx="34">
                  <c:v>0.74</c:v>
                </c:pt>
                <c:pt idx="35">
                  <c:v>0.77</c:v>
                </c:pt>
                <c:pt idx="36">
                  <c:v>0.8</c:v>
                </c:pt>
                <c:pt idx="37">
                  <c:v>0.83</c:v>
                </c:pt>
                <c:pt idx="38">
                  <c:v>0.86</c:v>
                </c:pt>
                <c:pt idx="39">
                  <c:v>0.88</c:v>
                </c:pt>
                <c:pt idx="40">
                  <c:v>0.91</c:v>
                </c:pt>
                <c:pt idx="41">
                  <c:v>0.94</c:v>
                </c:pt>
                <c:pt idx="42">
                  <c:v>0.97</c:v>
                </c:pt>
                <c:pt idx="43">
                  <c:v>1</c:v>
                </c:pt>
                <c:pt idx="44">
                  <c:v>1.03</c:v>
                </c:pt>
                <c:pt idx="45">
                  <c:v>1.06</c:v>
                </c:pt>
                <c:pt idx="46">
                  <c:v>1.0900000000000001</c:v>
                </c:pt>
                <c:pt idx="47">
                  <c:v>1.1200000000000001</c:v>
                </c:pt>
                <c:pt idx="48">
                  <c:v>1.1499999999999999</c:v>
                </c:pt>
                <c:pt idx="49">
                  <c:v>1.18</c:v>
                </c:pt>
                <c:pt idx="50">
                  <c:v>1.22</c:v>
                </c:pt>
                <c:pt idx="51">
                  <c:v>1.25</c:v>
                </c:pt>
                <c:pt idx="52">
                  <c:v>1.28</c:v>
                </c:pt>
                <c:pt idx="53">
                  <c:v>1.31</c:v>
                </c:pt>
                <c:pt idx="54">
                  <c:v>1.34</c:v>
                </c:pt>
                <c:pt idx="55">
                  <c:v>1.37</c:v>
                </c:pt>
                <c:pt idx="56">
                  <c:v>1.41</c:v>
                </c:pt>
                <c:pt idx="57">
                  <c:v>1.44</c:v>
                </c:pt>
                <c:pt idx="58">
                  <c:v>1.47</c:v>
                </c:pt>
                <c:pt idx="59">
                  <c:v>1.51</c:v>
                </c:pt>
                <c:pt idx="60">
                  <c:v>1.54</c:v>
                </c:pt>
                <c:pt idx="61">
                  <c:v>1.57</c:v>
                </c:pt>
                <c:pt idx="62">
                  <c:v>1.61</c:v>
                </c:pt>
                <c:pt idx="63">
                  <c:v>1.64</c:v>
                </c:pt>
                <c:pt idx="64">
                  <c:v>1.68</c:v>
                </c:pt>
                <c:pt idx="65">
                  <c:v>1.71</c:v>
                </c:pt>
                <c:pt idx="66">
                  <c:v>1.75</c:v>
                </c:pt>
                <c:pt idx="67">
                  <c:v>1.79</c:v>
                </c:pt>
                <c:pt idx="68">
                  <c:v>1.82</c:v>
                </c:pt>
                <c:pt idx="69">
                  <c:v>1.86</c:v>
                </c:pt>
                <c:pt idx="70">
                  <c:v>1.9</c:v>
                </c:pt>
                <c:pt idx="71">
                  <c:v>1.93</c:v>
                </c:pt>
                <c:pt idx="72">
                  <c:v>1.97</c:v>
                </c:pt>
                <c:pt idx="73">
                  <c:v>2.0099999999999998</c:v>
                </c:pt>
                <c:pt idx="74">
                  <c:v>2.0499999999999998</c:v>
                </c:pt>
                <c:pt idx="75">
                  <c:v>2.09</c:v>
                </c:pt>
                <c:pt idx="76">
                  <c:v>2.12</c:v>
                </c:pt>
                <c:pt idx="77">
                  <c:v>2.16</c:v>
                </c:pt>
                <c:pt idx="78">
                  <c:v>2.2000000000000002</c:v>
                </c:pt>
                <c:pt idx="79">
                  <c:v>2.2400000000000002</c:v>
                </c:pt>
                <c:pt idx="80">
                  <c:v>2.2799999999999998</c:v>
                </c:pt>
                <c:pt idx="81">
                  <c:v>2.3199999999999998</c:v>
                </c:pt>
                <c:pt idx="82">
                  <c:v>2.36</c:v>
                </c:pt>
                <c:pt idx="83">
                  <c:v>2.4</c:v>
                </c:pt>
                <c:pt idx="84">
                  <c:v>2.44</c:v>
                </c:pt>
                <c:pt idx="85">
                  <c:v>2.48</c:v>
                </c:pt>
                <c:pt idx="86">
                  <c:v>2.52</c:v>
                </c:pt>
                <c:pt idx="87">
                  <c:v>2.57</c:v>
                </c:pt>
                <c:pt idx="88">
                  <c:v>2.61</c:v>
                </c:pt>
                <c:pt idx="89">
                  <c:v>2.65</c:v>
                </c:pt>
                <c:pt idx="9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D-4461-A3D7-846075C1B81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FF0000"/>
                </a:solidFill>
                <a:prstDash val="solid"/>
              </a:ln>
            </c:spPr>
            <c:trendlineType val="poly"/>
            <c:order val="2"/>
            <c:backward val="40"/>
            <c:dispRSqr val="1"/>
            <c:dispEq val="1"/>
            <c:trendlineLbl>
              <c:layout>
                <c:manualLayout>
                  <c:x val="-0.10496665705646652"/>
                  <c:y val="-0.4910043023917562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'Data &amp; Graphs'!$A$114:$A$118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xVal>
          <c:yVal>
            <c:numRef>
              <c:f>'Data &amp; Graphs'!$B$114:$B$118</c:f>
              <c:numCache>
                <c:formatCode>0.00</c:formatCode>
                <c:ptCount val="5"/>
                <c:pt idx="0">
                  <c:v>-0.4</c:v>
                </c:pt>
                <c:pt idx="1">
                  <c:v>-0.28999999999999998</c:v>
                </c:pt>
                <c:pt idx="2">
                  <c:v>-0.18</c:v>
                </c:pt>
                <c:pt idx="3">
                  <c:v>-0.09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D-4461-A3D7-846075C1B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580272"/>
        <c:axId val="1"/>
      </c:scatterChart>
      <c:valAx>
        <c:axId val="394580272"/>
        <c:scaling>
          <c:orientation val="minMax"/>
          <c:max val="15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 [</a:t>
                </a: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Calibri"/>
                    <a:cs typeface="Arial"/>
                  </a:rPr>
                  <a:t>°</a:t>
                </a: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F]</a:t>
                </a:r>
              </a:p>
            </c:rich>
          </c:tx>
          <c:layout>
            <c:manualLayout>
              <c:xMode val="edge"/>
              <c:yMode val="edge"/>
              <c:x val="0.46979893490757269"/>
              <c:y val="0.916290631940238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Correction [</a:t>
                </a: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Calibri"/>
                    <a:cs typeface="Arial"/>
                  </a:rPr>
                  <a:t>°</a:t>
                </a:r>
                <a:r>
                  <a:rPr lang="en-US" sz="875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Bé]</a:t>
                </a:r>
              </a:p>
            </c:rich>
          </c:tx>
          <c:layout>
            <c:manualLayout>
              <c:xMode val="edge"/>
              <c:yMode val="edge"/>
              <c:x val="2.1476497768605992E-2"/>
              <c:y val="0.4230773819356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4580272"/>
        <c:crosses val="autoZero"/>
        <c:crossBetween val="midCat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</xdr:rowOff>
    </xdr:from>
    <xdr:to>
      <xdr:col>15</xdr:col>
      <xdr:colOff>403860</xdr:colOff>
      <xdr:row>26</xdr:row>
      <xdr:rowOff>7620</xdr:rowOff>
    </xdr:to>
    <xdr:graphicFrame macro="">
      <xdr:nvGraphicFramePr>
        <xdr:cNvPr id="1577" name="Chart 1">
          <a:extLst>
            <a:ext uri="{FF2B5EF4-FFF2-40B4-BE49-F238E27FC236}">
              <a16:creationId xmlns:a16="http://schemas.microsoft.com/office/drawing/2014/main" id="{00000000-0008-0000-0100-000029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15</xdr:col>
      <xdr:colOff>388620</xdr:colOff>
      <xdr:row>54</xdr:row>
      <xdr:rowOff>0</xdr:rowOff>
    </xdr:to>
    <xdr:graphicFrame macro="">
      <xdr:nvGraphicFramePr>
        <xdr:cNvPr id="1578" name="Chart 2">
          <a:extLst>
            <a:ext uri="{FF2B5EF4-FFF2-40B4-BE49-F238E27FC236}">
              <a16:creationId xmlns:a16="http://schemas.microsoft.com/office/drawing/2014/main" id="{00000000-0008-0000-0100-00002A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56</xdr:row>
      <xdr:rowOff>0</xdr:rowOff>
    </xdr:from>
    <xdr:to>
      <xdr:col>15</xdr:col>
      <xdr:colOff>419100</xdr:colOff>
      <xdr:row>82</xdr:row>
      <xdr:rowOff>0</xdr:rowOff>
    </xdr:to>
    <xdr:graphicFrame macro="">
      <xdr:nvGraphicFramePr>
        <xdr:cNvPr id="1579" name="Chart 3">
          <a:extLst>
            <a:ext uri="{FF2B5EF4-FFF2-40B4-BE49-F238E27FC236}">
              <a16:creationId xmlns:a16="http://schemas.microsoft.com/office/drawing/2014/main" id="{00000000-0008-0000-0100-00002B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84</xdr:row>
      <xdr:rowOff>0</xdr:rowOff>
    </xdr:from>
    <xdr:to>
      <xdr:col>15</xdr:col>
      <xdr:colOff>388620</xdr:colOff>
      <xdr:row>110</xdr:row>
      <xdr:rowOff>0</xdr:rowOff>
    </xdr:to>
    <xdr:graphicFrame macro="">
      <xdr:nvGraphicFramePr>
        <xdr:cNvPr id="1580" name="Chart 4">
          <a:extLst>
            <a:ext uri="{FF2B5EF4-FFF2-40B4-BE49-F238E27FC236}">
              <a16:creationId xmlns:a16="http://schemas.microsoft.com/office/drawing/2014/main" id="{00000000-0008-0000-0100-00002C0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salco.com/wp-content/uploads/2020/06/USALCO_TDS_Aluminum_Sulfate_Solution-6-30-20.pdf" TargetMode="External"/><Relationship Id="rId1" Type="http://schemas.openxmlformats.org/officeDocument/2006/relationships/hyperlink" Target="https://www.usalco.com/products/aluminum-sulfate-solution-alu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130" zoomScaleNormal="130" workbookViewId="0">
      <selection activeCell="B3" sqref="B3"/>
    </sheetView>
  </sheetViews>
  <sheetFormatPr defaultRowHeight="13.2" x14ac:dyDescent="0.25"/>
  <cols>
    <col min="1" max="1" width="11.5546875" bestFit="1" customWidth="1"/>
    <col min="2" max="2" width="12.6640625" bestFit="1" customWidth="1"/>
    <col min="3" max="3" width="19.88671875" customWidth="1"/>
    <col min="10" max="10" width="20.33203125" customWidth="1"/>
    <col min="11" max="11" width="20.6640625" customWidth="1"/>
  </cols>
  <sheetData>
    <row r="1" spans="1:11" x14ac:dyDescent="0.25">
      <c r="A1" s="7" t="s">
        <v>11</v>
      </c>
      <c r="B1" s="9" t="s">
        <v>8</v>
      </c>
      <c r="C1" s="11" t="s">
        <v>12</v>
      </c>
      <c r="D1" s="13" t="s">
        <v>2</v>
      </c>
    </row>
    <row r="2" spans="1:11" ht="13.8" thickBot="1" x14ac:dyDescent="0.3">
      <c r="A2" s="8" t="s">
        <v>1</v>
      </c>
      <c r="B2" s="10" t="s">
        <v>15</v>
      </c>
      <c r="C2" s="12" t="s">
        <v>20</v>
      </c>
      <c r="D2" s="20" t="s">
        <v>3</v>
      </c>
    </row>
    <row r="3" spans="1:11" ht="13.8" thickBot="1" x14ac:dyDescent="0.3">
      <c r="A3" s="18">
        <v>1.327</v>
      </c>
      <c r="B3" s="19">
        <v>24.1</v>
      </c>
      <c r="C3" s="16">
        <v>1.33</v>
      </c>
      <c r="D3" s="21">
        <f>-62.4077406420726*K16^2+291.040942971377*K16-228.523376591095</f>
        <v>48.213584740194648</v>
      </c>
      <c r="K3" s="2" t="s">
        <v>13</v>
      </c>
    </row>
    <row r="4" spans="1:11" x14ac:dyDescent="0.25">
      <c r="A4" s="22" t="s">
        <v>25</v>
      </c>
      <c r="B4" s="22"/>
      <c r="C4" s="17" t="s">
        <v>26</v>
      </c>
      <c r="K4" s="1">
        <f>-89.2372578386554*A3^2+316.291955357175*A3-226.846279115839</f>
        <v>35.732670434566643</v>
      </c>
    </row>
    <row r="5" spans="1:11" x14ac:dyDescent="0.25">
      <c r="K5" s="1"/>
    </row>
    <row r="6" spans="1:11" x14ac:dyDescent="0.25">
      <c r="A6" s="14" t="s">
        <v>21</v>
      </c>
      <c r="K6" s="2" t="s">
        <v>16</v>
      </c>
    </row>
    <row r="7" spans="1:11" x14ac:dyDescent="0.25">
      <c r="K7" s="1">
        <f>B3*1.8+32</f>
        <v>75.38</v>
      </c>
    </row>
    <row r="8" spans="1:11" x14ac:dyDescent="0.25">
      <c r="C8" t="s">
        <v>19</v>
      </c>
      <c r="K8" s="1"/>
    </row>
    <row r="9" spans="1:11" x14ac:dyDescent="0.25">
      <c r="K9" s="2" t="s">
        <v>14</v>
      </c>
    </row>
    <row r="10" spans="1:11" x14ac:dyDescent="0.25">
      <c r="K10" s="1">
        <f>IF(K7=60,0,IF(K7&gt;60,0.000142207283972578*K7^2+(8.15253108144793*10^-5)*K7-0.517925082780839,-0.000171428571428577*K7^2+0.037142857142857*K7-1.612))</f>
        <v>0.29626261741235016</v>
      </c>
    </row>
    <row r="11" spans="1:11" x14ac:dyDescent="0.25">
      <c r="K11" s="1"/>
    </row>
    <row r="12" spans="1:11" x14ac:dyDescent="0.25">
      <c r="C12" t="s">
        <v>24</v>
      </c>
      <c r="K12" s="2" t="s">
        <v>17</v>
      </c>
    </row>
    <row r="13" spans="1:11" x14ac:dyDescent="0.25">
      <c r="C13" s="15" t="s">
        <v>22</v>
      </c>
      <c r="K13" s="1">
        <f>K4+K10</f>
        <v>36.028933051978996</v>
      </c>
    </row>
    <row r="14" spans="1:11" x14ac:dyDescent="0.25">
      <c r="C14" s="15" t="s">
        <v>23</v>
      </c>
      <c r="K14" s="1"/>
    </row>
    <row r="15" spans="1:11" x14ac:dyDescent="0.25">
      <c r="K15" s="2" t="s">
        <v>18</v>
      </c>
    </row>
    <row r="16" spans="1:11" x14ac:dyDescent="0.25">
      <c r="K16" s="1">
        <f>0.0000757899006963252*K13^2+0.00638581287913759*K13+1.00190875369296</f>
        <v>1.3303644371314818</v>
      </c>
    </row>
  </sheetData>
  <mergeCells count="1">
    <mergeCell ref="A4:B4"/>
  </mergeCells>
  <phoneticPr fontId="0" type="noConversion"/>
  <hyperlinks>
    <hyperlink ref="C13" r:id="rId1"/>
    <hyperlink ref="C14" r:id="rId2"/>
  </hyperlinks>
  <pageMargins left="0.75" right="0.75" top="1" bottom="1" header="0.5" footer="0.5"/>
  <pageSetup orientation="portrait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Views>
    <sheetView topLeftCell="E85" workbookViewId="0">
      <selection activeCell="T113" sqref="T113"/>
    </sheetView>
  </sheetViews>
  <sheetFormatPr defaultRowHeight="13.2" x14ac:dyDescent="0.25"/>
  <cols>
    <col min="1" max="1" width="9.6640625" bestFit="1" customWidth="1"/>
    <col min="2" max="2" width="12.5546875" bestFit="1" customWidth="1"/>
  </cols>
  <sheetData>
    <row r="1" spans="1:3" x14ac:dyDescent="0.25">
      <c r="A1" s="1" t="s">
        <v>0</v>
      </c>
      <c r="B1" s="1" t="s">
        <v>0</v>
      </c>
      <c r="C1" s="1" t="s">
        <v>2</v>
      </c>
    </row>
    <row r="2" spans="1:3" x14ac:dyDescent="0.25">
      <c r="A2" s="2" t="s">
        <v>4</v>
      </c>
      <c r="B2" s="2" t="s">
        <v>5</v>
      </c>
      <c r="C2" s="2" t="s">
        <v>6</v>
      </c>
    </row>
    <row r="3" spans="1:3" x14ac:dyDescent="0.25">
      <c r="A3" s="4">
        <v>1.0068999999999999</v>
      </c>
      <c r="B3" s="1">
        <v>1</v>
      </c>
      <c r="C3" s="3">
        <v>1.1000000000000001</v>
      </c>
    </row>
    <row r="4" spans="1:3" x14ac:dyDescent="0.25">
      <c r="A4" s="4">
        <v>1.014</v>
      </c>
      <c r="B4" s="1">
        <v>2</v>
      </c>
      <c r="C4" s="3">
        <v>2.2999999999999998</v>
      </c>
    </row>
    <row r="5" spans="1:3" x14ac:dyDescent="0.25">
      <c r="A5" s="4">
        <v>1.0210999999999999</v>
      </c>
      <c r="B5" s="1">
        <v>3</v>
      </c>
      <c r="C5" s="3">
        <v>3.5</v>
      </c>
    </row>
    <row r="6" spans="1:3" x14ac:dyDescent="0.25">
      <c r="A6" s="4">
        <v>1.0284</v>
      </c>
      <c r="B6" s="1">
        <v>4</v>
      </c>
      <c r="C6" s="3">
        <v>4.7</v>
      </c>
    </row>
    <row r="7" spans="1:3" x14ac:dyDescent="0.25">
      <c r="A7" s="4">
        <v>1.0357000000000001</v>
      </c>
      <c r="B7" s="1">
        <v>5</v>
      </c>
      <c r="C7" s="3">
        <v>5.9</v>
      </c>
    </row>
    <row r="8" spans="1:3" x14ac:dyDescent="0.25">
      <c r="A8" s="4">
        <v>1.0431999999999999</v>
      </c>
      <c r="B8" s="1">
        <v>6</v>
      </c>
      <c r="C8" s="3">
        <v>7.2</v>
      </c>
    </row>
    <row r="9" spans="1:3" x14ac:dyDescent="0.25">
      <c r="A9" s="4">
        <v>1.0507</v>
      </c>
      <c r="B9" s="1">
        <v>7</v>
      </c>
      <c r="C9" s="3">
        <v>8.4</v>
      </c>
    </row>
    <row r="10" spans="1:3" x14ac:dyDescent="0.25">
      <c r="A10" s="4">
        <v>1.0584</v>
      </c>
      <c r="B10" s="1">
        <v>8</v>
      </c>
      <c r="C10" s="3">
        <v>9.6999999999999993</v>
      </c>
    </row>
    <row r="11" spans="1:3" x14ac:dyDescent="0.25">
      <c r="A11" s="4">
        <v>1.0662</v>
      </c>
      <c r="B11" s="1">
        <v>9</v>
      </c>
      <c r="C11" s="3">
        <v>10.9</v>
      </c>
    </row>
    <row r="12" spans="1:3" x14ac:dyDescent="0.25">
      <c r="A12" s="4">
        <v>1.0741000000000001</v>
      </c>
      <c r="B12" s="1">
        <v>10</v>
      </c>
      <c r="C12" s="3">
        <v>12.2</v>
      </c>
    </row>
    <row r="13" spans="1:3" x14ac:dyDescent="0.25">
      <c r="A13" s="4">
        <v>1.0821000000000001</v>
      </c>
      <c r="B13" s="1">
        <v>11</v>
      </c>
      <c r="C13" s="3">
        <v>13.4</v>
      </c>
    </row>
    <row r="14" spans="1:3" x14ac:dyDescent="0.25">
      <c r="A14" s="4">
        <v>1.0902000000000001</v>
      </c>
      <c r="B14" s="1">
        <v>12</v>
      </c>
      <c r="C14" s="3">
        <v>14.7</v>
      </c>
    </row>
    <row r="15" spans="1:3" x14ac:dyDescent="0.25">
      <c r="A15" s="4">
        <v>1.0985</v>
      </c>
      <c r="B15" s="1">
        <v>13</v>
      </c>
      <c r="C15" s="3">
        <v>16</v>
      </c>
    </row>
    <row r="16" spans="1:3" x14ac:dyDescent="0.25">
      <c r="A16" s="4">
        <v>1.1069</v>
      </c>
      <c r="B16" s="1">
        <v>14</v>
      </c>
      <c r="C16" s="3">
        <v>17.2</v>
      </c>
    </row>
    <row r="17" spans="1:3" x14ac:dyDescent="0.25">
      <c r="A17" s="4">
        <v>1.1153999999999999</v>
      </c>
      <c r="B17" s="1">
        <v>15</v>
      </c>
      <c r="C17" s="3">
        <v>18.5</v>
      </c>
    </row>
    <row r="18" spans="1:3" x14ac:dyDescent="0.25">
      <c r="A18" s="4">
        <v>1.1240000000000001</v>
      </c>
      <c r="B18" s="1">
        <v>16</v>
      </c>
      <c r="C18" s="3">
        <v>19.899999999999999</v>
      </c>
    </row>
    <row r="19" spans="1:3" x14ac:dyDescent="0.25">
      <c r="A19" s="4">
        <v>1.1328</v>
      </c>
      <c r="B19" s="1">
        <v>17</v>
      </c>
      <c r="C19" s="3">
        <v>21.2</v>
      </c>
    </row>
    <row r="20" spans="1:3" x14ac:dyDescent="0.25">
      <c r="A20" s="4">
        <v>1.1416999999999999</v>
      </c>
      <c r="B20" s="1">
        <v>18</v>
      </c>
      <c r="C20" s="3">
        <v>22.5</v>
      </c>
    </row>
    <row r="21" spans="1:3" x14ac:dyDescent="0.25">
      <c r="A21" s="4">
        <v>1.1508</v>
      </c>
      <c r="B21" s="1">
        <v>19</v>
      </c>
      <c r="C21" s="3">
        <v>23.8</v>
      </c>
    </row>
    <row r="22" spans="1:3" x14ac:dyDescent="0.25">
      <c r="A22" s="4">
        <v>1.1599999999999999</v>
      </c>
      <c r="B22" s="1">
        <v>20</v>
      </c>
      <c r="C22" s="3">
        <v>25.1</v>
      </c>
    </row>
    <row r="23" spans="1:3" x14ac:dyDescent="0.25">
      <c r="A23" s="4">
        <v>1.1694</v>
      </c>
      <c r="B23" s="1">
        <v>21</v>
      </c>
      <c r="C23" s="3">
        <v>26.5</v>
      </c>
    </row>
    <row r="24" spans="1:3" x14ac:dyDescent="0.25">
      <c r="A24" s="4">
        <v>1.1789000000000001</v>
      </c>
      <c r="B24" s="1">
        <v>22</v>
      </c>
      <c r="C24" s="3">
        <v>27.8</v>
      </c>
    </row>
    <row r="25" spans="1:3" x14ac:dyDescent="0.25">
      <c r="A25" s="4">
        <v>1.1884999999999999</v>
      </c>
      <c r="B25" s="1">
        <v>23</v>
      </c>
      <c r="C25" s="3">
        <v>29.2</v>
      </c>
    </row>
    <row r="26" spans="1:3" x14ac:dyDescent="0.25">
      <c r="A26" s="4">
        <v>1.1982999999999999</v>
      </c>
      <c r="B26" s="1">
        <v>24</v>
      </c>
      <c r="C26" s="3">
        <v>30.5</v>
      </c>
    </row>
    <row r="27" spans="1:3" x14ac:dyDescent="0.25">
      <c r="A27" s="4">
        <v>1.2082999999999999</v>
      </c>
      <c r="B27" s="1">
        <v>25</v>
      </c>
      <c r="C27" s="3">
        <v>31.9</v>
      </c>
    </row>
    <row r="28" spans="1:3" x14ac:dyDescent="0.25">
      <c r="A28" s="4">
        <v>1.2184999999999999</v>
      </c>
      <c r="B28" s="1">
        <v>26</v>
      </c>
      <c r="C28" s="3">
        <v>33.4</v>
      </c>
    </row>
    <row r="29" spans="1:3" x14ac:dyDescent="0.25">
      <c r="A29" s="4">
        <v>1.2287999999999999</v>
      </c>
      <c r="B29" s="1">
        <v>27</v>
      </c>
      <c r="C29" s="3">
        <v>34.799999999999997</v>
      </c>
    </row>
    <row r="30" spans="1:3" x14ac:dyDescent="0.25">
      <c r="A30" s="4">
        <v>1.2393000000000001</v>
      </c>
      <c r="B30" s="1">
        <v>28</v>
      </c>
      <c r="C30" s="3">
        <v>36.200000000000003</v>
      </c>
    </row>
    <row r="31" spans="1:3" x14ac:dyDescent="0.25">
      <c r="A31" s="4">
        <v>1.25</v>
      </c>
      <c r="B31" s="1">
        <v>29</v>
      </c>
      <c r="C31" s="3">
        <v>37.799999999999997</v>
      </c>
    </row>
    <row r="32" spans="1:3" x14ac:dyDescent="0.25">
      <c r="A32" s="4">
        <v>1.2608999999999999</v>
      </c>
      <c r="B32" s="1">
        <v>30</v>
      </c>
      <c r="C32" s="3">
        <v>39.200000000000003</v>
      </c>
    </row>
    <row r="33" spans="1:3" x14ac:dyDescent="0.25">
      <c r="A33" s="4">
        <v>1.2719</v>
      </c>
      <c r="B33" s="1">
        <v>31</v>
      </c>
      <c r="C33" s="3">
        <v>40.700000000000003</v>
      </c>
    </row>
    <row r="34" spans="1:3" x14ac:dyDescent="0.25">
      <c r="A34" s="4">
        <v>1.2831999999999999</v>
      </c>
      <c r="B34" s="1">
        <v>32</v>
      </c>
      <c r="C34" s="3">
        <v>42.1</v>
      </c>
    </row>
    <row r="35" spans="1:3" x14ac:dyDescent="0.25">
      <c r="A35" s="4">
        <v>1.2946</v>
      </c>
      <c r="B35" s="1">
        <v>33</v>
      </c>
      <c r="C35" s="3">
        <v>43.5</v>
      </c>
    </row>
    <row r="36" spans="1:3" x14ac:dyDescent="0.25">
      <c r="A36" s="4">
        <v>1.3063</v>
      </c>
      <c r="B36" s="1">
        <v>34</v>
      </c>
      <c r="C36" s="3">
        <v>45.1</v>
      </c>
    </row>
    <row r="37" spans="1:3" x14ac:dyDescent="0.25">
      <c r="A37" s="4">
        <v>1.3182</v>
      </c>
      <c r="B37" s="1">
        <v>35</v>
      </c>
      <c r="C37" s="3">
        <v>46.6</v>
      </c>
    </row>
    <row r="38" spans="1:3" x14ac:dyDescent="0.25">
      <c r="A38" s="4">
        <v>1.3303</v>
      </c>
      <c r="B38" s="1">
        <v>36</v>
      </c>
      <c r="C38" s="3">
        <v>48.2</v>
      </c>
    </row>
    <row r="39" spans="1:3" x14ac:dyDescent="0.25">
      <c r="A39" s="4">
        <v>1.3426</v>
      </c>
      <c r="B39" s="1">
        <v>37</v>
      </c>
      <c r="C39" s="3">
        <v>49.8</v>
      </c>
    </row>
    <row r="40" spans="1:3" x14ac:dyDescent="0.25">
      <c r="A40" s="4">
        <v>1.3551</v>
      </c>
      <c r="B40" s="1">
        <v>38</v>
      </c>
      <c r="C40" s="3">
        <v>51.4</v>
      </c>
    </row>
    <row r="41" spans="1:3" x14ac:dyDescent="0.25">
      <c r="A41" s="4">
        <v>1.3678999999999999</v>
      </c>
      <c r="B41" s="1">
        <v>39</v>
      </c>
      <c r="C41" s="3">
        <v>53</v>
      </c>
    </row>
    <row r="112" spans="1:2" x14ac:dyDescent="0.25">
      <c r="A112" s="5" t="s">
        <v>8</v>
      </c>
      <c r="B112" s="1" t="s">
        <v>7</v>
      </c>
    </row>
    <row r="113" spans="1:2" x14ac:dyDescent="0.25">
      <c r="A113" s="2" t="s">
        <v>9</v>
      </c>
      <c r="B113" s="2" t="s">
        <v>10</v>
      </c>
    </row>
    <row r="114" spans="1:2" x14ac:dyDescent="0.25">
      <c r="A114" s="1">
        <v>40</v>
      </c>
      <c r="B114" s="6">
        <v>-0.4</v>
      </c>
    </row>
    <row r="115" spans="1:2" x14ac:dyDescent="0.25">
      <c r="A115" s="1">
        <v>45</v>
      </c>
      <c r="B115" s="6">
        <v>-0.28999999999999998</v>
      </c>
    </row>
    <row r="116" spans="1:2" x14ac:dyDescent="0.25">
      <c r="A116" s="1">
        <v>50</v>
      </c>
      <c r="B116" s="6">
        <v>-0.18</v>
      </c>
    </row>
    <row r="117" spans="1:2" x14ac:dyDescent="0.25">
      <c r="A117" s="1">
        <v>55</v>
      </c>
      <c r="B117" s="6">
        <v>-0.09</v>
      </c>
    </row>
    <row r="118" spans="1:2" x14ac:dyDescent="0.25">
      <c r="A118" s="1">
        <v>60</v>
      </c>
      <c r="B118" s="6">
        <v>0</v>
      </c>
    </row>
    <row r="119" spans="1:2" x14ac:dyDescent="0.25">
      <c r="A119" s="1">
        <v>61</v>
      </c>
      <c r="B119" s="6">
        <v>0.02</v>
      </c>
    </row>
    <row r="120" spans="1:2" x14ac:dyDescent="0.25">
      <c r="A120" s="1">
        <v>62</v>
      </c>
      <c r="B120" s="6">
        <v>0.03</v>
      </c>
    </row>
    <row r="121" spans="1:2" x14ac:dyDescent="0.25">
      <c r="A121" s="1">
        <v>63</v>
      </c>
      <c r="B121" s="6">
        <v>0.05</v>
      </c>
    </row>
    <row r="122" spans="1:2" x14ac:dyDescent="0.25">
      <c r="A122" s="1">
        <v>64</v>
      </c>
      <c r="B122" s="6">
        <v>7.0000000000000007E-2</v>
      </c>
    </row>
    <row r="123" spans="1:2" x14ac:dyDescent="0.25">
      <c r="A123" s="1">
        <v>65</v>
      </c>
      <c r="B123" s="6">
        <v>0.09</v>
      </c>
    </row>
    <row r="124" spans="1:2" x14ac:dyDescent="0.25">
      <c r="A124" s="1">
        <v>66</v>
      </c>
      <c r="B124" s="6">
        <v>0.11</v>
      </c>
    </row>
    <row r="125" spans="1:2" x14ac:dyDescent="0.25">
      <c r="A125" s="1">
        <v>67</v>
      </c>
      <c r="B125" s="6">
        <v>0.13</v>
      </c>
    </row>
    <row r="126" spans="1:2" x14ac:dyDescent="0.25">
      <c r="A126" s="1">
        <v>68</v>
      </c>
      <c r="B126" s="6">
        <v>0.15</v>
      </c>
    </row>
    <row r="127" spans="1:2" x14ac:dyDescent="0.25">
      <c r="A127" s="1">
        <v>69</v>
      </c>
      <c r="B127" s="6">
        <v>0.16</v>
      </c>
    </row>
    <row r="128" spans="1:2" x14ac:dyDescent="0.25">
      <c r="A128" s="1">
        <v>70</v>
      </c>
      <c r="B128" s="6">
        <v>0.18</v>
      </c>
    </row>
    <row r="129" spans="1:2" x14ac:dyDescent="0.25">
      <c r="A129" s="1">
        <v>71</v>
      </c>
      <c r="B129" s="6">
        <v>0.2</v>
      </c>
    </row>
    <row r="130" spans="1:2" x14ac:dyDescent="0.25">
      <c r="A130" s="1">
        <v>72</v>
      </c>
      <c r="B130" s="6">
        <v>0.23</v>
      </c>
    </row>
    <row r="131" spans="1:2" x14ac:dyDescent="0.25">
      <c r="A131" s="1">
        <v>73</v>
      </c>
      <c r="B131" s="6">
        <v>0.25</v>
      </c>
    </row>
    <row r="132" spans="1:2" x14ac:dyDescent="0.25">
      <c r="A132" s="1">
        <v>74</v>
      </c>
      <c r="B132" s="6">
        <v>0.27</v>
      </c>
    </row>
    <row r="133" spans="1:2" x14ac:dyDescent="0.25">
      <c r="A133" s="1">
        <v>75</v>
      </c>
      <c r="B133" s="6">
        <v>0.28999999999999998</v>
      </c>
    </row>
    <row r="134" spans="1:2" x14ac:dyDescent="0.25">
      <c r="A134" s="1">
        <v>76</v>
      </c>
      <c r="B134" s="6">
        <v>0.31</v>
      </c>
    </row>
    <row r="135" spans="1:2" x14ac:dyDescent="0.25">
      <c r="A135" s="1">
        <v>77</v>
      </c>
      <c r="B135" s="6">
        <v>0.33</v>
      </c>
    </row>
    <row r="136" spans="1:2" x14ac:dyDescent="0.25">
      <c r="A136" s="1">
        <v>78</v>
      </c>
      <c r="B136" s="6">
        <v>0.35</v>
      </c>
    </row>
    <row r="137" spans="1:2" x14ac:dyDescent="0.25">
      <c r="A137" s="1">
        <v>79</v>
      </c>
      <c r="B137" s="6">
        <v>0.38</v>
      </c>
    </row>
    <row r="138" spans="1:2" x14ac:dyDescent="0.25">
      <c r="A138" s="1">
        <v>80</v>
      </c>
      <c r="B138" s="6">
        <v>0.4</v>
      </c>
    </row>
    <row r="139" spans="1:2" x14ac:dyDescent="0.25">
      <c r="A139" s="1">
        <v>81</v>
      </c>
      <c r="B139" s="6">
        <v>0.42</v>
      </c>
    </row>
    <row r="140" spans="1:2" x14ac:dyDescent="0.25">
      <c r="A140" s="1">
        <v>82</v>
      </c>
      <c r="B140" s="6">
        <v>0.44</v>
      </c>
    </row>
    <row r="141" spans="1:2" x14ac:dyDescent="0.25">
      <c r="A141" s="1">
        <v>83</v>
      </c>
      <c r="B141" s="6">
        <v>0.47</v>
      </c>
    </row>
    <row r="142" spans="1:2" x14ac:dyDescent="0.25">
      <c r="A142" s="1">
        <v>84</v>
      </c>
      <c r="B142" s="6">
        <v>0.49</v>
      </c>
    </row>
    <row r="143" spans="1:2" x14ac:dyDescent="0.25">
      <c r="A143" s="1">
        <v>85</v>
      </c>
      <c r="B143" s="6">
        <v>0.52</v>
      </c>
    </row>
    <row r="144" spans="1:2" x14ac:dyDescent="0.25">
      <c r="A144" s="1">
        <v>86</v>
      </c>
      <c r="B144" s="6">
        <v>0.54</v>
      </c>
    </row>
    <row r="145" spans="1:2" x14ac:dyDescent="0.25">
      <c r="A145" s="1">
        <v>87</v>
      </c>
      <c r="B145" s="6">
        <v>0.56000000000000005</v>
      </c>
    </row>
    <row r="146" spans="1:2" x14ac:dyDescent="0.25">
      <c r="A146" s="1">
        <v>88</v>
      </c>
      <c r="B146" s="6">
        <v>0.59</v>
      </c>
    </row>
    <row r="147" spans="1:2" x14ac:dyDescent="0.25">
      <c r="A147" s="1">
        <v>89</v>
      </c>
      <c r="B147" s="6">
        <v>0.61</v>
      </c>
    </row>
    <row r="148" spans="1:2" x14ac:dyDescent="0.25">
      <c r="A148" s="1">
        <v>90</v>
      </c>
      <c r="B148" s="6">
        <v>0.64</v>
      </c>
    </row>
    <row r="149" spans="1:2" x14ac:dyDescent="0.25">
      <c r="A149" s="1">
        <v>91</v>
      </c>
      <c r="B149" s="6">
        <v>0.66</v>
      </c>
    </row>
    <row r="150" spans="1:2" x14ac:dyDescent="0.25">
      <c r="A150" s="1">
        <v>92</v>
      </c>
      <c r="B150" s="6">
        <v>0.69</v>
      </c>
    </row>
    <row r="151" spans="1:2" x14ac:dyDescent="0.25">
      <c r="A151" s="1">
        <v>93</v>
      </c>
      <c r="B151" s="6">
        <v>0.72</v>
      </c>
    </row>
    <row r="152" spans="1:2" x14ac:dyDescent="0.25">
      <c r="A152" s="1">
        <v>94</v>
      </c>
      <c r="B152" s="6">
        <v>0.74</v>
      </c>
    </row>
    <row r="153" spans="1:2" x14ac:dyDescent="0.25">
      <c r="A153" s="1">
        <v>95</v>
      </c>
      <c r="B153" s="6">
        <v>0.77</v>
      </c>
    </row>
    <row r="154" spans="1:2" x14ac:dyDescent="0.25">
      <c r="A154" s="1">
        <v>96</v>
      </c>
      <c r="B154" s="6">
        <v>0.8</v>
      </c>
    </row>
    <row r="155" spans="1:2" x14ac:dyDescent="0.25">
      <c r="A155" s="1">
        <v>97</v>
      </c>
      <c r="B155" s="6">
        <v>0.83</v>
      </c>
    </row>
    <row r="156" spans="1:2" x14ac:dyDescent="0.25">
      <c r="A156" s="1">
        <v>98</v>
      </c>
      <c r="B156" s="6">
        <v>0.86</v>
      </c>
    </row>
    <row r="157" spans="1:2" x14ac:dyDescent="0.25">
      <c r="A157" s="1">
        <v>99</v>
      </c>
      <c r="B157" s="6">
        <v>0.88</v>
      </c>
    </row>
    <row r="158" spans="1:2" x14ac:dyDescent="0.25">
      <c r="A158" s="1">
        <v>100</v>
      </c>
      <c r="B158" s="6">
        <v>0.91</v>
      </c>
    </row>
    <row r="159" spans="1:2" x14ac:dyDescent="0.25">
      <c r="A159" s="1">
        <v>101</v>
      </c>
      <c r="B159" s="6">
        <v>0.94</v>
      </c>
    </row>
    <row r="160" spans="1:2" x14ac:dyDescent="0.25">
      <c r="A160" s="1">
        <v>102</v>
      </c>
      <c r="B160" s="6">
        <v>0.97</v>
      </c>
    </row>
    <row r="161" spans="1:2" x14ac:dyDescent="0.25">
      <c r="A161" s="1">
        <v>103</v>
      </c>
      <c r="B161" s="6">
        <v>1</v>
      </c>
    </row>
    <row r="162" spans="1:2" x14ac:dyDescent="0.25">
      <c r="A162" s="1">
        <v>104</v>
      </c>
      <c r="B162" s="6">
        <v>1.03</v>
      </c>
    </row>
    <row r="163" spans="1:2" x14ac:dyDescent="0.25">
      <c r="A163" s="1">
        <v>105</v>
      </c>
      <c r="B163" s="6">
        <v>1.06</v>
      </c>
    </row>
    <row r="164" spans="1:2" x14ac:dyDescent="0.25">
      <c r="A164" s="1">
        <v>106</v>
      </c>
      <c r="B164" s="6">
        <v>1.0900000000000001</v>
      </c>
    </row>
    <row r="165" spans="1:2" x14ac:dyDescent="0.25">
      <c r="A165" s="1">
        <v>107</v>
      </c>
      <c r="B165" s="6">
        <v>1.1200000000000001</v>
      </c>
    </row>
    <row r="166" spans="1:2" x14ac:dyDescent="0.25">
      <c r="A166" s="1">
        <v>108</v>
      </c>
      <c r="B166" s="6">
        <v>1.1499999999999999</v>
      </c>
    </row>
    <row r="167" spans="1:2" x14ac:dyDescent="0.25">
      <c r="A167" s="1">
        <v>109</v>
      </c>
      <c r="B167" s="6">
        <v>1.18</v>
      </c>
    </row>
    <row r="168" spans="1:2" x14ac:dyDescent="0.25">
      <c r="A168" s="1">
        <v>110</v>
      </c>
      <c r="B168" s="6">
        <v>1.22</v>
      </c>
    </row>
    <row r="169" spans="1:2" x14ac:dyDescent="0.25">
      <c r="A169" s="1">
        <v>111</v>
      </c>
      <c r="B169" s="6">
        <v>1.25</v>
      </c>
    </row>
    <row r="170" spans="1:2" x14ac:dyDescent="0.25">
      <c r="A170" s="1">
        <v>112</v>
      </c>
      <c r="B170" s="6">
        <v>1.28</v>
      </c>
    </row>
    <row r="171" spans="1:2" x14ac:dyDescent="0.25">
      <c r="A171" s="1">
        <v>113</v>
      </c>
      <c r="B171" s="6">
        <v>1.31</v>
      </c>
    </row>
    <row r="172" spans="1:2" x14ac:dyDescent="0.25">
      <c r="A172" s="1">
        <v>114</v>
      </c>
      <c r="B172" s="6">
        <v>1.34</v>
      </c>
    </row>
    <row r="173" spans="1:2" x14ac:dyDescent="0.25">
      <c r="A173" s="1">
        <v>115</v>
      </c>
      <c r="B173" s="6">
        <v>1.37</v>
      </c>
    </row>
    <row r="174" spans="1:2" x14ac:dyDescent="0.25">
      <c r="A174" s="1">
        <v>116</v>
      </c>
      <c r="B174" s="6">
        <v>1.41</v>
      </c>
    </row>
    <row r="175" spans="1:2" x14ac:dyDescent="0.25">
      <c r="A175" s="1">
        <v>117</v>
      </c>
      <c r="B175" s="6">
        <v>1.44</v>
      </c>
    </row>
    <row r="176" spans="1:2" x14ac:dyDescent="0.25">
      <c r="A176" s="1">
        <v>118</v>
      </c>
      <c r="B176" s="6">
        <v>1.47</v>
      </c>
    </row>
    <row r="177" spans="1:2" x14ac:dyDescent="0.25">
      <c r="A177" s="1">
        <v>119</v>
      </c>
      <c r="B177" s="6">
        <v>1.51</v>
      </c>
    </row>
    <row r="178" spans="1:2" x14ac:dyDescent="0.25">
      <c r="A178" s="1">
        <v>120</v>
      </c>
      <c r="B178" s="6">
        <v>1.54</v>
      </c>
    </row>
    <row r="179" spans="1:2" x14ac:dyDescent="0.25">
      <c r="A179" s="1">
        <v>121</v>
      </c>
      <c r="B179" s="6">
        <v>1.57</v>
      </c>
    </row>
    <row r="180" spans="1:2" x14ac:dyDescent="0.25">
      <c r="A180" s="1">
        <v>122</v>
      </c>
      <c r="B180" s="6">
        <v>1.61</v>
      </c>
    </row>
    <row r="181" spans="1:2" x14ac:dyDescent="0.25">
      <c r="A181" s="1">
        <v>123</v>
      </c>
      <c r="B181" s="6">
        <v>1.64</v>
      </c>
    </row>
    <row r="182" spans="1:2" x14ac:dyDescent="0.25">
      <c r="A182" s="1">
        <v>124</v>
      </c>
      <c r="B182" s="6">
        <v>1.68</v>
      </c>
    </row>
    <row r="183" spans="1:2" x14ac:dyDescent="0.25">
      <c r="A183" s="1">
        <v>125</v>
      </c>
      <c r="B183" s="6">
        <v>1.71</v>
      </c>
    </row>
    <row r="184" spans="1:2" x14ac:dyDescent="0.25">
      <c r="A184" s="1">
        <v>126</v>
      </c>
      <c r="B184" s="6">
        <v>1.75</v>
      </c>
    </row>
    <row r="185" spans="1:2" x14ac:dyDescent="0.25">
      <c r="A185" s="1">
        <v>127</v>
      </c>
      <c r="B185" s="6">
        <v>1.79</v>
      </c>
    </row>
    <row r="186" spans="1:2" x14ac:dyDescent="0.25">
      <c r="A186" s="1">
        <v>128</v>
      </c>
      <c r="B186" s="6">
        <v>1.82</v>
      </c>
    </row>
    <row r="187" spans="1:2" x14ac:dyDescent="0.25">
      <c r="A187" s="1">
        <v>129</v>
      </c>
      <c r="B187" s="6">
        <v>1.86</v>
      </c>
    </row>
    <row r="188" spans="1:2" x14ac:dyDescent="0.25">
      <c r="A188" s="1">
        <v>130</v>
      </c>
      <c r="B188" s="6">
        <v>1.9</v>
      </c>
    </row>
    <row r="189" spans="1:2" x14ac:dyDescent="0.25">
      <c r="A189" s="1">
        <v>131</v>
      </c>
      <c r="B189" s="6">
        <v>1.93</v>
      </c>
    </row>
    <row r="190" spans="1:2" x14ac:dyDescent="0.25">
      <c r="A190" s="1">
        <v>132</v>
      </c>
      <c r="B190" s="6">
        <v>1.97</v>
      </c>
    </row>
    <row r="191" spans="1:2" x14ac:dyDescent="0.25">
      <c r="A191" s="1">
        <v>133</v>
      </c>
      <c r="B191" s="6">
        <v>2.0099999999999998</v>
      </c>
    </row>
    <row r="192" spans="1:2" x14ac:dyDescent="0.25">
      <c r="A192" s="1">
        <v>134</v>
      </c>
      <c r="B192" s="6">
        <v>2.0499999999999998</v>
      </c>
    </row>
    <row r="193" spans="1:2" x14ac:dyDescent="0.25">
      <c r="A193" s="1">
        <v>135</v>
      </c>
      <c r="B193" s="6">
        <v>2.09</v>
      </c>
    </row>
    <row r="194" spans="1:2" x14ac:dyDescent="0.25">
      <c r="A194" s="1">
        <v>136</v>
      </c>
      <c r="B194" s="6">
        <v>2.12</v>
      </c>
    </row>
    <row r="195" spans="1:2" x14ac:dyDescent="0.25">
      <c r="A195" s="1">
        <v>137</v>
      </c>
      <c r="B195" s="6">
        <v>2.16</v>
      </c>
    </row>
    <row r="196" spans="1:2" x14ac:dyDescent="0.25">
      <c r="A196" s="1">
        <v>138</v>
      </c>
      <c r="B196" s="6">
        <v>2.2000000000000002</v>
      </c>
    </row>
    <row r="197" spans="1:2" x14ac:dyDescent="0.25">
      <c r="A197" s="1">
        <v>139</v>
      </c>
      <c r="B197" s="6">
        <v>2.2400000000000002</v>
      </c>
    </row>
    <row r="198" spans="1:2" x14ac:dyDescent="0.25">
      <c r="A198" s="1">
        <v>140</v>
      </c>
      <c r="B198" s="6">
        <v>2.2799999999999998</v>
      </c>
    </row>
    <row r="199" spans="1:2" x14ac:dyDescent="0.25">
      <c r="A199" s="1">
        <v>141</v>
      </c>
      <c r="B199" s="6">
        <v>2.3199999999999998</v>
      </c>
    </row>
    <row r="200" spans="1:2" x14ac:dyDescent="0.25">
      <c r="A200" s="1">
        <v>142</v>
      </c>
      <c r="B200" s="6">
        <v>2.36</v>
      </c>
    </row>
    <row r="201" spans="1:2" x14ac:dyDescent="0.25">
      <c r="A201" s="1">
        <v>143</v>
      </c>
      <c r="B201" s="6">
        <v>2.4</v>
      </c>
    </row>
    <row r="202" spans="1:2" x14ac:dyDescent="0.25">
      <c r="A202" s="1">
        <v>144</v>
      </c>
      <c r="B202" s="6">
        <v>2.44</v>
      </c>
    </row>
    <row r="203" spans="1:2" x14ac:dyDescent="0.25">
      <c r="A203" s="1">
        <v>145</v>
      </c>
      <c r="B203" s="6">
        <v>2.48</v>
      </c>
    </row>
    <row r="204" spans="1:2" x14ac:dyDescent="0.25">
      <c r="A204" s="1">
        <v>146</v>
      </c>
      <c r="B204" s="6">
        <v>2.52</v>
      </c>
    </row>
    <row r="205" spans="1:2" x14ac:dyDescent="0.25">
      <c r="A205" s="1">
        <v>147</v>
      </c>
      <c r="B205" s="6">
        <v>2.57</v>
      </c>
    </row>
    <row r="206" spans="1:2" x14ac:dyDescent="0.25">
      <c r="A206" s="1">
        <v>148</v>
      </c>
      <c r="B206" s="6">
        <v>2.61</v>
      </c>
    </row>
    <row r="207" spans="1:2" x14ac:dyDescent="0.25">
      <c r="A207" s="1">
        <v>149</v>
      </c>
      <c r="B207" s="6">
        <v>2.65</v>
      </c>
    </row>
    <row r="208" spans="1:2" x14ac:dyDescent="0.25">
      <c r="A208" s="1">
        <v>150</v>
      </c>
      <c r="B208" s="6">
        <v>2.7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Correction Calculation</vt:lpstr>
      <vt:lpstr>Data &amp; Graphs</vt:lpstr>
    </vt:vector>
  </TitlesOfParts>
  <Company>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Kirkpatrick</dc:creator>
  <cp:lastModifiedBy>Operators</cp:lastModifiedBy>
  <cp:lastPrinted>2002-01-31T17:06:21Z</cp:lastPrinted>
  <dcterms:created xsi:type="dcterms:W3CDTF">2001-02-15T22:07:32Z</dcterms:created>
  <dcterms:modified xsi:type="dcterms:W3CDTF">2025-10-06T13:31:50Z</dcterms:modified>
</cp:coreProperties>
</file>